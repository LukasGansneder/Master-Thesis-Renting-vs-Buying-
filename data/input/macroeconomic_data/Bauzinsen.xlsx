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49176\Desktop\Git\Master-Thesis-Renting-vs-Buying-\data\input\macroeconomic_data\"/>
    </mc:Choice>
  </mc:AlternateContent>
  <xr:revisionPtr revIDLastSave="0" documentId="13_ncr:1_{E167AE32-122C-4511-B704-1D29A5DEB5B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A4" i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3" i="1"/>
  <c r="C2" i="1"/>
  <c r="B2" i="1"/>
  <c r="A2" i="1"/>
</calcChain>
</file>

<file path=xl/sharedStrings.xml><?xml version="1.0" encoding="utf-8"?>
<sst xmlns="http://schemas.openxmlformats.org/spreadsheetml/2006/main" count="5" uniqueCount="5">
  <si>
    <t>Jahr</t>
  </si>
  <si>
    <t>10 Jahre Sollzinsbindung</t>
  </si>
  <si>
    <t>15 Jahre Sollzinsbindung</t>
  </si>
  <si>
    <t>Monat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</si>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</sst>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1" applyFont="1" applyAlignment="1">
      <alignment horizontal="right" vertical="center"/>
    </xf>
    <xf numFmtId="4" fontId="0" fillId="0" borderId="0" xfId="1" applyNumberFormat="1" applyFont="1" applyAlignment="1">
      <alignment horizontal="right" vertical="center"/>
    </xf>
    <xf numFmtId="3" fontId="0" fillId="0" borderId="0" xfId="1" applyNumberFormat="1" applyFont="1" applyAlignment="1">
      <alignment horizontal="right" vertical="center"/>
    </xf>
    <xf numFmtId="14" fontId="0" fillId="0" borderId="0" xfId="0" applyNumberFormat="1"/>
  </cellXfs>
  <cellStyles count="2">
    <cellStyle name="Normal" xfId="1" xr:uid="{E39B782C-24A0-4530-B545-95C4AF3AC086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1"/>
  <sheetViews>
    <sheetView tabSelected="1" workbookViewId="0">
      <selection activeCell="C2" sqref="C2:C181"/>
    </sheetView>
  </sheetViews>
  <sheetFormatPr baseColWidth="10" defaultColWidth="8.88671875" defaultRowHeight="14.4" x14ac:dyDescent="0.3"/>
  <cols>
    <col min="1" max="2" width="10.109375" bestFit="1" customWidth="1"/>
    <col min="4" max="5" width="20.5546875" bestFit="1" customWidth="1"/>
  </cols>
  <sheetData>
    <row r="1" spans="1:5" x14ac:dyDescent="0.3">
      <c r="A1" t="s">
        <v>4</v>
      </c>
      <c r="B1" t="s">
        <v>0</v>
      </c>
      <c r="C1" t="s">
        <v>3</v>
      </c>
      <c r="D1" s="1" t="s">
        <v>1</v>
      </c>
      <c r="E1" s="1" t="s">
        <v>2</v>
      </c>
    </row>
    <row r="2" spans="1:5" x14ac:dyDescent="0.3">
      <c r="A2" s="4">
        <f>DATE(2011,1,1)</f>
        <v>40544</v>
      </c>
      <c r="B2">
        <f>YEAR(A2)</f>
        <v>2011</v>
      </c>
      <c r="C2">
        <f>MONTH(A2)</f>
        <v>1</v>
      </c>
      <c r="D2" s="2">
        <v>3.95</v>
      </c>
      <c r="E2" s="2">
        <v>4.3</v>
      </c>
    </row>
    <row r="3" spans="1:5" x14ac:dyDescent="0.3">
      <c r="A3" s="4">
        <f>EDATE(A2,1)</f>
        <v>40575</v>
      </c>
      <c r="B3">
        <f t="shared" ref="B3:B66" si="0">YEAR(A3)</f>
        <v>2011</v>
      </c>
      <c r="C3">
        <f t="shared" ref="C3:C66" si="1">MONTH(A3)</f>
        <v>2</v>
      </c>
      <c r="D3" s="2">
        <v>4.0599999999999996</v>
      </c>
      <c r="E3" s="2">
        <v>4.42</v>
      </c>
    </row>
    <row r="4" spans="1:5" x14ac:dyDescent="0.3">
      <c r="A4" s="4">
        <f t="shared" ref="A4:A67" si="2">EDATE(A3,1)</f>
        <v>40603</v>
      </c>
      <c r="B4">
        <f t="shared" si="0"/>
        <v>2011</v>
      </c>
      <c r="C4">
        <f t="shared" si="1"/>
        <v>3</v>
      </c>
      <c r="D4" s="2">
        <v>4.0999999999999996</v>
      </c>
      <c r="E4" s="2">
        <v>4.4400000000000004</v>
      </c>
    </row>
    <row r="5" spans="1:5" x14ac:dyDescent="0.3">
      <c r="A5" s="4">
        <f t="shared" si="2"/>
        <v>40634</v>
      </c>
      <c r="B5">
        <f t="shared" si="0"/>
        <v>2011</v>
      </c>
      <c r="C5">
        <f t="shared" si="1"/>
        <v>4</v>
      </c>
      <c r="D5" s="2">
        <v>4.2</v>
      </c>
      <c r="E5" s="2">
        <v>4.59</v>
      </c>
    </row>
    <row r="6" spans="1:5" x14ac:dyDescent="0.3">
      <c r="A6" s="4">
        <f t="shared" si="2"/>
        <v>40664</v>
      </c>
      <c r="B6">
        <f t="shared" si="0"/>
        <v>2011</v>
      </c>
      <c r="C6">
        <f t="shared" si="1"/>
        <v>5</v>
      </c>
      <c r="D6" s="2">
        <v>4.32</v>
      </c>
      <c r="E6" s="2">
        <v>4.66</v>
      </c>
    </row>
    <row r="7" spans="1:5" x14ac:dyDescent="0.3">
      <c r="A7" s="4">
        <f t="shared" si="2"/>
        <v>40695</v>
      </c>
      <c r="B7">
        <f t="shared" si="0"/>
        <v>2011</v>
      </c>
      <c r="C7">
        <f t="shared" si="1"/>
        <v>6</v>
      </c>
      <c r="D7" s="2">
        <v>4.05</v>
      </c>
      <c r="E7" s="2">
        <v>4.3</v>
      </c>
    </row>
    <row r="8" spans="1:5" x14ac:dyDescent="0.3">
      <c r="A8" s="4">
        <f t="shared" si="2"/>
        <v>40725</v>
      </c>
      <c r="B8">
        <f t="shared" si="0"/>
        <v>2011</v>
      </c>
      <c r="C8">
        <f t="shared" si="1"/>
        <v>7</v>
      </c>
      <c r="D8" s="2">
        <v>4.05</v>
      </c>
      <c r="E8" s="2">
        <v>4.4000000000000004</v>
      </c>
    </row>
    <row r="9" spans="1:5" x14ac:dyDescent="0.3">
      <c r="A9" s="4">
        <f t="shared" si="2"/>
        <v>40756</v>
      </c>
      <c r="B9">
        <f t="shared" si="0"/>
        <v>2011</v>
      </c>
      <c r="C9">
        <f t="shared" si="1"/>
        <v>8</v>
      </c>
      <c r="D9" s="2">
        <v>3.9</v>
      </c>
      <c r="E9" s="2">
        <v>4.2699999999999996</v>
      </c>
    </row>
    <row r="10" spans="1:5" x14ac:dyDescent="0.3">
      <c r="A10" s="4">
        <f t="shared" si="2"/>
        <v>40787</v>
      </c>
      <c r="B10">
        <f t="shared" si="0"/>
        <v>2011</v>
      </c>
      <c r="C10">
        <f t="shared" si="1"/>
        <v>9</v>
      </c>
      <c r="D10" s="2">
        <v>3.6</v>
      </c>
      <c r="E10" s="2">
        <v>3.95</v>
      </c>
    </row>
    <row r="11" spans="1:5" x14ac:dyDescent="0.3">
      <c r="A11" s="4">
        <f t="shared" si="2"/>
        <v>40817</v>
      </c>
      <c r="B11">
        <f t="shared" si="0"/>
        <v>2011</v>
      </c>
      <c r="C11">
        <f t="shared" si="1"/>
        <v>10</v>
      </c>
      <c r="D11" s="2">
        <v>3.35</v>
      </c>
      <c r="E11" s="2">
        <v>3.66</v>
      </c>
    </row>
    <row r="12" spans="1:5" x14ac:dyDescent="0.3">
      <c r="A12" s="4">
        <f t="shared" si="2"/>
        <v>40848</v>
      </c>
      <c r="B12">
        <f t="shared" si="0"/>
        <v>2011</v>
      </c>
      <c r="C12">
        <f t="shared" si="1"/>
        <v>11</v>
      </c>
      <c r="D12" s="2">
        <v>3.5</v>
      </c>
      <c r="E12" s="2">
        <v>3.82</v>
      </c>
    </row>
    <row r="13" spans="1:5" x14ac:dyDescent="0.3">
      <c r="A13" s="4">
        <f t="shared" si="2"/>
        <v>40878</v>
      </c>
      <c r="B13">
        <f t="shared" si="0"/>
        <v>2011</v>
      </c>
      <c r="C13">
        <f t="shared" si="1"/>
        <v>12</v>
      </c>
      <c r="D13" s="2">
        <v>3.4</v>
      </c>
      <c r="E13" s="2">
        <v>3.77</v>
      </c>
    </row>
    <row r="14" spans="1:5" x14ac:dyDescent="0.3">
      <c r="A14" s="4">
        <f t="shared" si="2"/>
        <v>40909</v>
      </c>
      <c r="B14">
        <f t="shared" si="0"/>
        <v>2012</v>
      </c>
      <c r="C14">
        <f t="shared" si="1"/>
        <v>1</v>
      </c>
      <c r="D14" s="2">
        <v>3.31</v>
      </c>
      <c r="E14" s="2">
        <v>3.7</v>
      </c>
    </row>
    <row r="15" spans="1:5" x14ac:dyDescent="0.3">
      <c r="A15" s="4">
        <f t="shared" si="2"/>
        <v>40940</v>
      </c>
      <c r="B15">
        <f t="shared" si="0"/>
        <v>2012</v>
      </c>
      <c r="C15">
        <f t="shared" si="1"/>
        <v>2</v>
      </c>
      <c r="D15" s="2">
        <v>3.2</v>
      </c>
      <c r="E15" s="2">
        <v>3.6</v>
      </c>
    </row>
    <row r="16" spans="1:5" x14ac:dyDescent="0.3">
      <c r="A16" s="4">
        <f t="shared" si="2"/>
        <v>40969</v>
      </c>
      <c r="B16">
        <f t="shared" si="0"/>
        <v>2012</v>
      </c>
      <c r="C16">
        <f t="shared" si="1"/>
        <v>3</v>
      </c>
      <c r="D16" s="2">
        <v>3.15</v>
      </c>
      <c r="E16" s="2">
        <v>3.53</v>
      </c>
    </row>
    <row r="17" spans="1:5" x14ac:dyDescent="0.3">
      <c r="A17" s="4">
        <f t="shared" si="2"/>
        <v>41000</v>
      </c>
      <c r="B17">
        <f t="shared" si="0"/>
        <v>2012</v>
      </c>
      <c r="C17">
        <f t="shared" si="1"/>
        <v>4</v>
      </c>
      <c r="D17" s="2">
        <v>3.13</v>
      </c>
      <c r="E17" s="2">
        <v>3.54</v>
      </c>
    </row>
    <row r="18" spans="1:5" x14ac:dyDescent="0.3">
      <c r="A18" s="4">
        <f t="shared" si="2"/>
        <v>41030</v>
      </c>
      <c r="B18">
        <f t="shared" si="0"/>
        <v>2012</v>
      </c>
      <c r="C18">
        <f t="shared" si="1"/>
        <v>5</v>
      </c>
      <c r="D18" s="2">
        <v>3.08</v>
      </c>
      <c r="E18" s="2">
        <v>3.49</v>
      </c>
    </row>
    <row r="19" spans="1:5" x14ac:dyDescent="0.3">
      <c r="A19" s="4">
        <f t="shared" si="2"/>
        <v>41061</v>
      </c>
      <c r="B19">
        <f t="shared" si="0"/>
        <v>2012</v>
      </c>
      <c r="C19">
        <f t="shared" si="1"/>
        <v>6</v>
      </c>
      <c r="D19" s="2">
        <v>2.76</v>
      </c>
      <c r="E19" s="2">
        <v>3.11</v>
      </c>
    </row>
    <row r="20" spans="1:5" x14ac:dyDescent="0.3">
      <c r="A20" s="4">
        <f t="shared" si="2"/>
        <v>41091</v>
      </c>
      <c r="B20">
        <f t="shared" si="0"/>
        <v>2012</v>
      </c>
      <c r="C20">
        <f t="shared" si="1"/>
        <v>7</v>
      </c>
      <c r="D20" s="2">
        <v>2.85</v>
      </c>
      <c r="E20" s="2">
        <v>3.26</v>
      </c>
    </row>
    <row r="21" spans="1:5" x14ac:dyDescent="0.3">
      <c r="A21" s="4">
        <f t="shared" si="2"/>
        <v>41122</v>
      </c>
      <c r="B21">
        <f t="shared" si="0"/>
        <v>2012</v>
      </c>
      <c r="C21">
        <f t="shared" si="1"/>
        <v>8</v>
      </c>
      <c r="D21" s="2">
        <v>2.7</v>
      </c>
      <c r="E21" s="2">
        <v>3.17</v>
      </c>
    </row>
    <row r="22" spans="1:5" x14ac:dyDescent="0.3">
      <c r="A22" s="4">
        <f t="shared" si="2"/>
        <v>41153</v>
      </c>
      <c r="B22">
        <f t="shared" si="0"/>
        <v>2012</v>
      </c>
      <c r="C22">
        <f t="shared" si="1"/>
        <v>9</v>
      </c>
      <c r="D22" s="2">
        <v>2.7</v>
      </c>
      <c r="E22" s="2">
        <v>3.1</v>
      </c>
    </row>
    <row r="23" spans="1:5" x14ac:dyDescent="0.3">
      <c r="A23" s="4">
        <f t="shared" si="2"/>
        <v>41183</v>
      </c>
      <c r="B23">
        <f t="shared" si="0"/>
        <v>2012</v>
      </c>
      <c r="C23">
        <f t="shared" si="1"/>
        <v>10</v>
      </c>
      <c r="D23" s="2">
        <v>2.7</v>
      </c>
      <c r="E23" s="2">
        <v>3.18</v>
      </c>
    </row>
    <row r="24" spans="1:5" x14ac:dyDescent="0.3">
      <c r="A24" s="4">
        <f t="shared" si="2"/>
        <v>41214</v>
      </c>
      <c r="B24">
        <f t="shared" si="0"/>
        <v>2012</v>
      </c>
      <c r="C24">
        <f t="shared" si="1"/>
        <v>11</v>
      </c>
      <c r="D24" s="2">
        <v>2.73</v>
      </c>
      <c r="E24" s="2">
        <v>3.2</v>
      </c>
    </row>
    <row r="25" spans="1:5" x14ac:dyDescent="0.3">
      <c r="A25" s="4">
        <f t="shared" si="2"/>
        <v>41244</v>
      </c>
      <c r="B25">
        <f t="shared" si="0"/>
        <v>2012</v>
      </c>
      <c r="C25">
        <f t="shared" si="1"/>
        <v>12</v>
      </c>
      <c r="D25" s="2">
        <v>2.64</v>
      </c>
      <c r="E25" s="2">
        <v>3.1</v>
      </c>
    </row>
    <row r="26" spans="1:5" x14ac:dyDescent="0.3">
      <c r="A26" s="4">
        <f t="shared" si="2"/>
        <v>41275</v>
      </c>
      <c r="B26">
        <f t="shared" si="0"/>
        <v>2013</v>
      </c>
      <c r="C26">
        <f t="shared" si="1"/>
        <v>1</v>
      </c>
      <c r="D26" s="2">
        <v>2.54</v>
      </c>
      <c r="E26" s="2">
        <v>3.09</v>
      </c>
    </row>
    <row r="27" spans="1:5" x14ac:dyDescent="0.3">
      <c r="A27" s="4">
        <f t="shared" si="2"/>
        <v>41306</v>
      </c>
      <c r="B27">
        <f t="shared" si="0"/>
        <v>2013</v>
      </c>
      <c r="C27">
        <f t="shared" si="1"/>
        <v>2</v>
      </c>
      <c r="D27" s="2">
        <v>2.69</v>
      </c>
      <c r="E27" s="2">
        <v>3.14</v>
      </c>
    </row>
    <row r="28" spans="1:5" x14ac:dyDescent="0.3">
      <c r="A28" s="4">
        <f t="shared" si="2"/>
        <v>41334</v>
      </c>
      <c r="B28">
        <f t="shared" si="0"/>
        <v>2013</v>
      </c>
      <c r="C28">
        <f t="shared" si="1"/>
        <v>3</v>
      </c>
      <c r="D28" s="2">
        <v>2.7</v>
      </c>
      <c r="E28" s="2">
        <v>3.17</v>
      </c>
    </row>
    <row r="29" spans="1:5" x14ac:dyDescent="0.3">
      <c r="A29" s="4">
        <f t="shared" si="2"/>
        <v>41365</v>
      </c>
      <c r="B29">
        <f t="shared" si="0"/>
        <v>2013</v>
      </c>
      <c r="C29">
        <f t="shared" si="1"/>
        <v>4</v>
      </c>
      <c r="D29" s="2">
        <v>2.58</v>
      </c>
      <c r="E29" s="2">
        <v>3.04</v>
      </c>
    </row>
    <row r="30" spans="1:5" x14ac:dyDescent="0.3">
      <c r="A30" s="4">
        <f t="shared" si="2"/>
        <v>41395</v>
      </c>
      <c r="B30">
        <f t="shared" si="0"/>
        <v>2013</v>
      </c>
      <c r="C30">
        <f t="shared" si="1"/>
        <v>5</v>
      </c>
      <c r="D30" s="2">
        <v>2.4</v>
      </c>
      <c r="E30" s="2">
        <v>2.9</v>
      </c>
    </row>
    <row r="31" spans="1:5" x14ac:dyDescent="0.3">
      <c r="A31" s="4">
        <f t="shared" si="2"/>
        <v>41426</v>
      </c>
      <c r="B31">
        <f t="shared" si="0"/>
        <v>2013</v>
      </c>
      <c r="C31">
        <f t="shared" si="1"/>
        <v>6</v>
      </c>
      <c r="D31" s="2">
        <v>2.38</v>
      </c>
      <c r="E31" s="2">
        <v>2.95</v>
      </c>
    </row>
    <row r="32" spans="1:5" x14ac:dyDescent="0.3">
      <c r="A32" s="4">
        <f t="shared" si="2"/>
        <v>41456</v>
      </c>
      <c r="B32">
        <f t="shared" si="0"/>
        <v>2013</v>
      </c>
      <c r="C32">
        <f t="shared" si="1"/>
        <v>7</v>
      </c>
      <c r="D32" s="2">
        <v>2.6</v>
      </c>
      <c r="E32" s="2">
        <v>3.14</v>
      </c>
    </row>
    <row r="33" spans="1:5" x14ac:dyDescent="0.3">
      <c r="A33" s="4">
        <f t="shared" si="2"/>
        <v>41487</v>
      </c>
      <c r="B33">
        <f t="shared" si="0"/>
        <v>2013</v>
      </c>
      <c r="C33">
        <f t="shared" si="1"/>
        <v>8</v>
      </c>
      <c r="D33" s="2">
        <v>2.65</v>
      </c>
      <c r="E33" s="2">
        <v>3.18</v>
      </c>
    </row>
    <row r="34" spans="1:5" x14ac:dyDescent="0.3">
      <c r="A34" s="4">
        <f t="shared" si="2"/>
        <v>41518</v>
      </c>
      <c r="B34">
        <f t="shared" si="0"/>
        <v>2013</v>
      </c>
      <c r="C34">
        <f t="shared" si="1"/>
        <v>9</v>
      </c>
      <c r="D34" s="2">
        <v>2.8</v>
      </c>
      <c r="E34" s="2">
        <v>3.25</v>
      </c>
    </row>
    <row r="35" spans="1:5" x14ac:dyDescent="0.3">
      <c r="A35" s="4">
        <f t="shared" si="2"/>
        <v>41548</v>
      </c>
      <c r="B35">
        <f t="shared" si="0"/>
        <v>2013</v>
      </c>
      <c r="C35">
        <f t="shared" si="1"/>
        <v>10</v>
      </c>
      <c r="D35" s="2">
        <v>2.83</v>
      </c>
      <c r="E35" s="2">
        <v>3.33</v>
      </c>
    </row>
    <row r="36" spans="1:5" x14ac:dyDescent="0.3">
      <c r="A36" s="4">
        <f t="shared" si="2"/>
        <v>41579</v>
      </c>
      <c r="B36">
        <f t="shared" si="0"/>
        <v>2013</v>
      </c>
      <c r="C36">
        <f t="shared" si="1"/>
        <v>11</v>
      </c>
      <c r="D36" s="2">
        <v>2.76</v>
      </c>
      <c r="E36" s="2">
        <v>3.29</v>
      </c>
    </row>
    <row r="37" spans="1:5" x14ac:dyDescent="0.3">
      <c r="A37" s="4">
        <f t="shared" si="2"/>
        <v>41609</v>
      </c>
      <c r="B37">
        <f t="shared" si="0"/>
        <v>2013</v>
      </c>
      <c r="C37">
        <f t="shared" si="1"/>
        <v>12</v>
      </c>
      <c r="D37" s="2">
        <v>2.65</v>
      </c>
      <c r="E37" s="2">
        <v>3.15</v>
      </c>
    </row>
    <row r="38" spans="1:5" x14ac:dyDescent="0.3">
      <c r="A38" s="4">
        <f t="shared" si="2"/>
        <v>41640</v>
      </c>
      <c r="B38">
        <f t="shared" si="0"/>
        <v>2014</v>
      </c>
      <c r="C38">
        <f t="shared" si="1"/>
        <v>1</v>
      </c>
      <c r="D38" s="2">
        <v>2.67</v>
      </c>
      <c r="E38" s="2">
        <v>3.2</v>
      </c>
    </row>
    <row r="39" spans="1:5" x14ac:dyDescent="0.3">
      <c r="A39" s="4">
        <f t="shared" si="2"/>
        <v>41671</v>
      </c>
      <c r="B39">
        <f t="shared" si="0"/>
        <v>2014</v>
      </c>
      <c r="C39">
        <f t="shared" si="1"/>
        <v>2</v>
      </c>
      <c r="D39" s="2">
        <v>2.6</v>
      </c>
      <c r="E39" s="2">
        <v>3.15</v>
      </c>
    </row>
    <row r="40" spans="1:5" x14ac:dyDescent="0.3">
      <c r="A40" s="4">
        <f t="shared" si="2"/>
        <v>41699</v>
      </c>
      <c r="B40">
        <f t="shared" si="0"/>
        <v>2014</v>
      </c>
      <c r="C40">
        <f t="shared" si="1"/>
        <v>3</v>
      </c>
      <c r="D40" s="2">
        <v>2.5</v>
      </c>
      <c r="E40" s="3">
        <v>3</v>
      </c>
    </row>
    <row r="41" spans="1:5" x14ac:dyDescent="0.3">
      <c r="A41" s="4">
        <f t="shared" si="2"/>
        <v>41730</v>
      </c>
      <c r="B41">
        <f t="shared" si="0"/>
        <v>2014</v>
      </c>
      <c r="C41">
        <f t="shared" si="1"/>
        <v>4</v>
      </c>
      <c r="D41" s="2">
        <v>2.4300000000000002</v>
      </c>
      <c r="E41" s="2">
        <v>2.95</v>
      </c>
    </row>
    <row r="42" spans="1:5" x14ac:dyDescent="0.3">
      <c r="A42" s="4">
        <f t="shared" si="2"/>
        <v>41760</v>
      </c>
      <c r="B42">
        <f t="shared" si="0"/>
        <v>2014</v>
      </c>
      <c r="C42">
        <f t="shared" si="1"/>
        <v>5</v>
      </c>
      <c r="D42" s="2">
        <v>2.4</v>
      </c>
      <c r="E42" s="2">
        <v>2.89</v>
      </c>
    </row>
    <row r="43" spans="1:5" x14ac:dyDescent="0.3">
      <c r="A43" s="4">
        <f t="shared" si="2"/>
        <v>41791</v>
      </c>
      <c r="B43">
        <f t="shared" si="0"/>
        <v>2014</v>
      </c>
      <c r="C43">
        <f t="shared" si="1"/>
        <v>6</v>
      </c>
      <c r="D43" s="2">
        <v>2.2799999999999998</v>
      </c>
      <c r="E43" s="2">
        <v>2.8</v>
      </c>
    </row>
    <row r="44" spans="1:5" x14ac:dyDescent="0.3">
      <c r="A44" s="4">
        <f t="shared" si="2"/>
        <v>41821</v>
      </c>
      <c r="B44">
        <f t="shared" si="0"/>
        <v>2014</v>
      </c>
      <c r="C44">
        <f t="shared" si="1"/>
        <v>7</v>
      </c>
      <c r="D44" s="2">
        <v>2.2000000000000002</v>
      </c>
      <c r="E44" s="2">
        <v>2.77</v>
      </c>
    </row>
    <row r="45" spans="1:5" x14ac:dyDescent="0.3">
      <c r="A45" s="4">
        <f t="shared" si="2"/>
        <v>41852</v>
      </c>
      <c r="B45">
        <f t="shared" si="0"/>
        <v>2014</v>
      </c>
      <c r="C45">
        <f t="shared" si="1"/>
        <v>8</v>
      </c>
      <c r="D45" s="2">
        <v>2.1</v>
      </c>
      <c r="E45" s="2">
        <v>2.62</v>
      </c>
    </row>
    <row r="46" spans="1:5" x14ac:dyDescent="0.3">
      <c r="A46" s="4">
        <f t="shared" si="2"/>
        <v>41883</v>
      </c>
      <c r="B46">
        <f t="shared" si="0"/>
        <v>2014</v>
      </c>
      <c r="C46">
        <f t="shared" si="1"/>
        <v>9</v>
      </c>
      <c r="D46" s="2">
        <v>1.94</v>
      </c>
      <c r="E46" s="2">
        <v>2.39</v>
      </c>
    </row>
    <row r="47" spans="1:5" x14ac:dyDescent="0.3">
      <c r="A47" s="4">
        <f t="shared" si="2"/>
        <v>41913</v>
      </c>
      <c r="B47">
        <f t="shared" si="0"/>
        <v>2014</v>
      </c>
      <c r="C47">
        <f t="shared" si="1"/>
        <v>10</v>
      </c>
      <c r="D47" s="2">
        <v>1.97</v>
      </c>
      <c r="E47" s="2">
        <v>2.46</v>
      </c>
    </row>
    <row r="48" spans="1:5" x14ac:dyDescent="0.3">
      <c r="A48" s="4">
        <f t="shared" si="2"/>
        <v>41944</v>
      </c>
      <c r="B48">
        <f t="shared" si="0"/>
        <v>2014</v>
      </c>
      <c r="C48">
        <f t="shared" si="1"/>
        <v>11</v>
      </c>
      <c r="D48" s="2">
        <v>1.9</v>
      </c>
      <c r="E48" s="2">
        <v>2.4</v>
      </c>
    </row>
    <row r="49" spans="1:5" x14ac:dyDescent="0.3">
      <c r="A49" s="4">
        <f t="shared" si="2"/>
        <v>41974</v>
      </c>
      <c r="B49">
        <f t="shared" si="0"/>
        <v>2014</v>
      </c>
      <c r="C49">
        <f t="shared" si="1"/>
        <v>12</v>
      </c>
      <c r="D49" s="2">
        <v>1.81</v>
      </c>
      <c r="E49" s="2">
        <v>2.2999999999999998</v>
      </c>
    </row>
    <row r="50" spans="1:5" x14ac:dyDescent="0.3">
      <c r="A50" s="4">
        <f t="shared" si="2"/>
        <v>42005</v>
      </c>
      <c r="B50">
        <f t="shared" si="0"/>
        <v>2015</v>
      </c>
      <c r="C50">
        <f t="shared" si="1"/>
        <v>1</v>
      </c>
      <c r="D50" s="2">
        <v>1.7</v>
      </c>
      <c r="E50" s="2">
        <v>2.15</v>
      </c>
    </row>
    <row r="51" spans="1:5" x14ac:dyDescent="0.3">
      <c r="A51" s="4">
        <f t="shared" si="2"/>
        <v>42036</v>
      </c>
      <c r="B51">
        <f t="shared" si="0"/>
        <v>2015</v>
      </c>
      <c r="C51">
        <f t="shared" si="1"/>
        <v>2</v>
      </c>
      <c r="D51" s="2">
        <v>1.5</v>
      </c>
      <c r="E51" s="2">
        <v>1.94</v>
      </c>
    </row>
    <row r="52" spans="1:5" x14ac:dyDescent="0.3">
      <c r="A52" s="4">
        <f t="shared" si="2"/>
        <v>42064</v>
      </c>
      <c r="B52">
        <f t="shared" si="0"/>
        <v>2015</v>
      </c>
      <c r="C52">
        <f t="shared" si="1"/>
        <v>3</v>
      </c>
      <c r="D52" s="2">
        <v>1.48</v>
      </c>
      <c r="E52" s="2">
        <v>1.85</v>
      </c>
    </row>
    <row r="53" spans="1:5" x14ac:dyDescent="0.3">
      <c r="A53" s="4">
        <f t="shared" si="2"/>
        <v>42095</v>
      </c>
      <c r="B53">
        <f t="shared" si="0"/>
        <v>2015</v>
      </c>
      <c r="C53">
        <f t="shared" si="1"/>
        <v>4</v>
      </c>
      <c r="D53" s="2">
        <v>1.32</v>
      </c>
      <c r="E53" s="2">
        <v>1.65</v>
      </c>
    </row>
    <row r="54" spans="1:5" x14ac:dyDescent="0.3">
      <c r="A54" s="4">
        <f t="shared" si="2"/>
        <v>42125</v>
      </c>
      <c r="B54">
        <f t="shared" si="0"/>
        <v>2015</v>
      </c>
      <c r="C54">
        <f t="shared" si="1"/>
        <v>5</v>
      </c>
      <c r="D54" s="2">
        <v>1.3</v>
      </c>
      <c r="E54" s="2">
        <v>1.65</v>
      </c>
    </row>
    <row r="55" spans="1:5" x14ac:dyDescent="0.3">
      <c r="A55" s="4">
        <f t="shared" si="2"/>
        <v>42156</v>
      </c>
      <c r="B55">
        <f t="shared" si="0"/>
        <v>2015</v>
      </c>
      <c r="C55">
        <f t="shared" si="1"/>
        <v>6</v>
      </c>
      <c r="D55" s="2">
        <v>1.69</v>
      </c>
      <c r="E55" s="2">
        <v>2.0299999999999998</v>
      </c>
    </row>
    <row r="56" spans="1:5" x14ac:dyDescent="0.3">
      <c r="A56" s="4">
        <f t="shared" si="2"/>
        <v>42186</v>
      </c>
      <c r="B56">
        <f t="shared" si="0"/>
        <v>2015</v>
      </c>
      <c r="C56">
        <f t="shared" si="1"/>
        <v>7</v>
      </c>
      <c r="D56" s="2">
        <v>1.88</v>
      </c>
      <c r="E56" s="2">
        <v>2.34</v>
      </c>
    </row>
    <row r="57" spans="1:5" x14ac:dyDescent="0.3">
      <c r="A57" s="4">
        <f t="shared" si="2"/>
        <v>42217</v>
      </c>
      <c r="B57">
        <f t="shared" si="0"/>
        <v>2015</v>
      </c>
      <c r="C57">
        <f t="shared" si="1"/>
        <v>8</v>
      </c>
      <c r="D57" s="2">
        <v>1.83</v>
      </c>
      <c r="E57" s="2">
        <v>2.25</v>
      </c>
    </row>
    <row r="58" spans="1:5" x14ac:dyDescent="0.3">
      <c r="A58" s="4">
        <f t="shared" si="2"/>
        <v>42248</v>
      </c>
      <c r="B58">
        <f t="shared" si="0"/>
        <v>2015</v>
      </c>
      <c r="C58">
        <f t="shared" si="1"/>
        <v>9</v>
      </c>
      <c r="D58" s="2">
        <v>1.71</v>
      </c>
      <c r="E58" s="2">
        <v>2.15</v>
      </c>
    </row>
    <row r="59" spans="1:5" x14ac:dyDescent="0.3">
      <c r="A59" s="4">
        <f t="shared" si="2"/>
        <v>42278</v>
      </c>
      <c r="B59">
        <f t="shared" si="0"/>
        <v>2015</v>
      </c>
      <c r="C59">
        <f t="shared" si="1"/>
        <v>10</v>
      </c>
      <c r="D59" s="2">
        <v>1.7</v>
      </c>
      <c r="E59" s="2">
        <v>2.14</v>
      </c>
    </row>
    <row r="60" spans="1:5" x14ac:dyDescent="0.3">
      <c r="A60" s="4">
        <f t="shared" si="2"/>
        <v>42309</v>
      </c>
      <c r="B60">
        <f t="shared" si="0"/>
        <v>2015</v>
      </c>
      <c r="C60">
        <f t="shared" si="1"/>
        <v>11</v>
      </c>
      <c r="D60" s="2">
        <v>1.6</v>
      </c>
      <c r="E60" s="2">
        <v>2.0499999999999998</v>
      </c>
    </row>
    <row r="61" spans="1:5" x14ac:dyDescent="0.3">
      <c r="A61" s="4">
        <f t="shared" si="2"/>
        <v>42339</v>
      </c>
      <c r="B61">
        <f t="shared" si="0"/>
        <v>2015</v>
      </c>
      <c r="C61">
        <f t="shared" si="1"/>
        <v>12</v>
      </c>
      <c r="D61" s="2">
        <v>1.59</v>
      </c>
      <c r="E61" s="2">
        <v>2.02</v>
      </c>
    </row>
    <row r="62" spans="1:5" x14ac:dyDescent="0.3">
      <c r="A62" s="4">
        <f t="shared" si="2"/>
        <v>42370</v>
      </c>
      <c r="B62">
        <f t="shared" si="0"/>
        <v>2016</v>
      </c>
      <c r="C62">
        <f t="shared" si="1"/>
        <v>1</v>
      </c>
      <c r="D62" s="2">
        <v>1.57</v>
      </c>
      <c r="E62" s="2">
        <v>2.0499999999999998</v>
      </c>
    </row>
    <row r="63" spans="1:5" x14ac:dyDescent="0.3">
      <c r="A63" s="4">
        <f t="shared" si="2"/>
        <v>42401</v>
      </c>
      <c r="B63">
        <f t="shared" si="0"/>
        <v>2016</v>
      </c>
      <c r="C63">
        <f t="shared" si="1"/>
        <v>2</v>
      </c>
      <c r="D63" s="2">
        <v>1.55</v>
      </c>
      <c r="E63" s="2">
        <v>1.99</v>
      </c>
    </row>
    <row r="64" spans="1:5" x14ac:dyDescent="0.3">
      <c r="A64" s="4">
        <f t="shared" si="2"/>
        <v>42430</v>
      </c>
      <c r="B64">
        <f t="shared" si="0"/>
        <v>2016</v>
      </c>
      <c r="C64">
        <f t="shared" si="1"/>
        <v>3</v>
      </c>
      <c r="D64" s="2">
        <v>1.38</v>
      </c>
      <c r="E64" s="2">
        <v>1.8</v>
      </c>
    </row>
    <row r="65" spans="1:5" x14ac:dyDescent="0.3">
      <c r="A65" s="4">
        <f t="shared" si="2"/>
        <v>42461</v>
      </c>
      <c r="B65">
        <f t="shared" si="0"/>
        <v>2016</v>
      </c>
      <c r="C65">
        <f t="shared" si="1"/>
        <v>4</v>
      </c>
      <c r="D65" s="2">
        <v>1.4</v>
      </c>
      <c r="E65" s="2">
        <v>1.8</v>
      </c>
    </row>
    <row r="66" spans="1:5" x14ac:dyDescent="0.3">
      <c r="A66" s="4">
        <f t="shared" si="2"/>
        <v>42491</v>
      </c>
      <c r="B66">
        <f t="shared" si="0"/>
        <v>2016</v>
      </c>
      <c r="C66">
        <f t="shared" si="1"/>
        <v>5</v>
      </c>
      <c r="D66" s="2">
        <v>1.41</v>
      </c>
      <c r="E66" s="2">
        <v>1.81</v>
      </c>
    </row>
    <row r="67" spans="1:5" x14ac:dyDescent="0.3">
      <c r="A67" s="4">
        <f t="shared" si="2"/>
        <v>42522</v>
      </c>
      <c r="B67">
        <f t="shared" ref="B67:B130" si="3">YEAR(A67)</f>
        <v>2016</v>
      </c>
      <c r="C67">
        <f t="shared" ref="C67:C130" si="4">MONTH(A67)</f>
        <v>6</v>
      </c>
      <c r="D67" s="2">
        <v>1.38</v>
      </c>
      <c r="E67" s="2">
        <v>1.8</v>
      </c>
    </row>
    <row r="68" spans="1:5" x14ac:dyDescent="0.3">
      <c r="A68" s="4">
        <f t="shared" ref="A68:A131" si="5">EDATE(A67,1)</f>
        <v>42552</v>
      </c>
      <c r="B68">
        <f t="shared" si="3"/>
        <v>2016</v>
      </c>
      <c r="C68">
        <f t="shared" si="4"/>
        <v>7</v>
      </c>
      <c r="D68" s="2">
        <v>1.3</v>
      </c>
      <c r="E68" s="2">
        <v>1.71</v>
      </c>
    </row>
    <row r="69" spans="1:5" x14ac:dyDescent="0.3">
      <c r="A69" s="4">
        <f t="shared" si="5"/>
        <v>42583</v>
      </c>
      <c r="B69">
        <f t="shared" si="3"/>
        <v>2016</v>
      </c>
      <c r="C69">
        <f t="shared" si="4"/>
        <v>8</v>
      </c>
      <c r="D69" s="2">
        <v>1.2</v>
      </c>
      <c r="E69" s="2">
        <v>1.64</v>
      </c>
    </row>
    <row r="70" spans="1:5" x14ac:dyDescent="0.3">
      <c r="A70" s="4">
        <f t="shared" si="5"/>
        <v>42614</v>
      </c>
      <c r="B70">
        <f t="shared" si="3"/>
        <v>2016</v>
      </c>
      <c r="C70">
        <f t="shared" si="4"/>
        <v>9</v>
      </c>
      <c r="D70" s="2">
        <v>1.1399999999999999</v>
      </c>
      <c r="E70" s="2">
        <v>1.55</v>
      </c>
    </row>
    <row r="71" spans="1:5" x14ac:dyDescent="0.3">
      <c r="A71" s="4">
        <f t="shared" si="5"/>
        <v>42644</v>
      </c>
      <c r="B71">
        <f t="shared" si="3"/>
        <v>2016</v>
      </c>
      <c r="C71">
        <f t="shared" si="4"/>
        <v>10</v>
      </c>
      <c r="D71" s="2">
        <v>1.1299999999999999</v>
      </c>
      <c r="E71" s="2">
        <v>1.54</v>
      </c>
    </row>
    <row r="72" spans="1:5" x14ac:dyDescent="0.3">
      <c r="A72" s="4">
        <f t="shared" si="5"/>
        <v>42675</v>
      </c>
      <c r="B72">
        <f t="shared" si="3"/>
        <v>2016</v>
      </c>
      <c r="C72">
        <f t="shared" si="4"/>
        <v>11</v>
      </c>
      <c r="D72" s="2">
        <v>1.17</v>
      </c>
      <c r="E72" s="2">
        <v>1.58</v>
      </c>
    </row>
    <row r="73" spans="1:5" x14ac:dyDescent="0.3">
      <c r="A73" s="4">
        <f t="shared" si="5"/>
        <v>42705</v>
      </c>
      <c r="B73">
        <f t="shared" si="3"/>
        <v>2016</v>
      </c>
      <c r="C73">
        <f t="shared" si="4"/>
        <v>12</v>
      </c>
      <c r="D73" s="2">
        <v>1.34</v>
      </c>
      <c r="E73" s="2">
        <v>1.74</v>
      </c>
    </row>
    <row r="74" spans="1:5" x14ac:dyDescent="0.3">
      <c r="A74" s="4">
        <f t="shared" si="5"/>
        <v>42736</v>
      </c>
      <c r="B74">
        <f t="shared" si="3"/>
        <v>2017</v>
      </c>
      <c r="C74">
        <f t="shared" si="4"/>
        <v>1</v>
      </c>
      <c r="D74" s="2">
        <v>1.39</v>
      </c>
      <c r="E74" s="2">
        <v>1.81</v>
      </c>
    </row>
    <row r="75" spans="1:5" x14ac:dyDescent="0.3">
      <c r="A75" s="4">
        <f t="shared" si="5"/>
        <v>42767</v>
      </c>
      <c r="B75">
        <f t="shared" si="3"/>
        <v>2017</v>
      </c>
      <c r="C75">
        <f t="shared" si="4"/>
        <v>2</v>
      </c>
      <c r="D75" s="2">
        <v>1.4</v>
      </c>
      <c r="E75" s="2">
        <v>1.85</v>
      </c>
    </row>
    <row r="76" spans="1:5" x14ac:dyDescent="0.3">
      <c r="A76" s="4">
        <f t="shared" si="5"/>
        <v>42795</v>
      </c>
      <c r="B76">
        <f t="shared" si="3"/>
        <v>2017</v>
      </c>
      <c r="C76">
        <f t="shared" si="4"/>
        <v>3</v>
      </c>
      <c r="D76" s="2">
        <v>1.45</v>
      </c>
      <c r="E76" s="2">
        <v>1.86</v>
      </c>
    </row>
    <row r="77" spans="1:5" x14ac:dyDescent="0.3">
      <c r="A77" s="4">
        <f t="shared" si="5"/>
        <v>42826</v>
      </c>
      <c r="B77">
        <f t="shared" si="3"/>
        <v>2017</v>
      </c>
      <c r="C77">
        <f t="shared" si="4"/>
        <v>4</v>
      </c>
      <c r="D77" s="2">
        <v>1.5</v>
      </c>
      <c r="E77" s="2">
        <v>1.91</v>
      </c>
    </row>
    <row r="78" spans="1:5" x14ac:dyDescent="0.3">
      <c r="A78" s="4">
        <f t="shared" si="5"/>
        <v>42856</v>
      </c>
      <c r="B78">
        <f t="shared" si="3"/>
        <v>2017</v>
      </c>
      <c r="C78">
        <f t="shared" si="4"/>
        <v>5</v>
      </c>
      <c r="D78" s="2">
        <v>1.4</v>
      </c>
      <c r="E78" s="2">
        <v>1.85</v>
      </c>
    </row>
    <row r="79" spans="1:5" x14ac:dyDescent="0.3">
      <c r="A79" s="4">
        <f t="shared" si="5"/>
        <v>42887</v>
      </c>
      <c r="B79">
        <f t="shared" si="3"/>
        <v>2017</v>
      </c>
      <c r="C79">
        <f t="shared" si="4"/>
        <v>6</v>
      </c>
      <c r="D79" s="2">
        <v>1.41</v>
      </c>
      <c r="E79" s="2">
        <v>1.88</v>
      </c>
    </row>
    <row r="80" spans="1:5" x14ac:dyDescent="0.3">
      <c r="A80" s="4">
        <f t="shared" si="5"/>
        <v>42917</v>
      </c>
      <c r="B80">
        <f t="shared" si="3"/>
        <v>2017</v>
      </c>
      <c r="C80">
        <f t="shared" si="4"/>
        <v>7</v>
      </c>
      <c r="D80" s="2">
        <v>1.4</v>
      </c>
      <c r="E80" s="2">
        <v>1.85</v>
      </c>
    </row>
    <row r="81" spans="1:5" x14ac:dyDescent="0.3">
      <c r="A81" s="4">
        <f t="shared" si="5"/>
        <v>42948</v>
      </c>
      <c r="B81">
        <f t="shared" si="3"/>
        <v>2017</v>
      </c>
      <c r="C81">
        <f t="shared" si="4"/>
        <v>8</v>
      </c>
      <c r="D81" s="2">
        <v>1.55</v>
      </c>
      <c r="E81" s="2">
        <v>2.0099999999999998</v>
      </c>
    </row>
    <row r="82" spans="1:5" x14ac:dyDescent="0.3">
      <c r="A82" s="4">
        <f t="shared" si="5"/>
        <v>42979</v>
      </c>
      <c r="B82">
        <f t="shared" si="3"/>
        <v>2017</v>
      </c>
      <c r="C82">
        <f t="shared" si="4"/>
        <v>9</v>
      </c>
      <c r="D82" s="2">
        <v>1.44</v>
      </c>
      <c r="E82" s="2">
        <v>1.88</v>
      </c>
    </row>
    <row r="83" spans="1:5" x14ac:dyDescent="0.3">
      <c r="A83" s="4">
        <f t="shared" si="5"/>
        <v>43009</v>
      </c>
      <c r="B83">
        <f t="shared" si="3"/>
        <v>2017</v>
      </c>
      <c r="C83">
        <f t="shared" si="4"/>
        <v>10</v>
      </c>
      <c r="D83" s="2">
        <v>1.39</v>
      </c>
      <c r="E83" s="2">
        <v>1.85</v>
      </c>
    </row>
    <row r="84" spans="1:5" x14ac:dyDescent="0.3">
      <c r="A84" s="4">
        <f t="shared" si="5"/>
        <v>43040</v>
      </c>
      <c r="B84">
        <f t="shared" si="3"/>
        <v>2017</v>
      </c>
      <c r="C84">
        <f t="shared" si="4"/>
        <v>11</v>
      </c>
      <c r="D84" s="2">
        <v>1.44</v>
      </c>
      <c r="E84" s="2">
        <v>1.85</v>
      </c>
    </row>
    <row r="85" spans="1:5" x14ac:dyDescent="0.3">
      <c r="A85" s="4">
        <f t="shared" si="5"/>
        <v>43070</v>
      </c>
      <c r="B85">
        <f t="shared" si="3"/>
        <v>2017</v>
      </c>
      <c r="C85">
        <f t="shared" si="4"/>
        <v>12</v>
      </c>
      <c r="D85" s="2">
        <v>1.35</v>
      </c>
      <c r="E85" s="2">
        <v>1.75</v>
      </c>
    </row>
    <row r="86" spans="1:5" x14ac:dyDescent="0.3">
      <c r="A86" s="4">
        <f t="shared" si="5"/>
        <v>43101</v>
      </c>
      <c r="B86">
        <f t="shared" si="3"/>
        <v>2018</v>
      </c>
      <c r="C86">
        <f t="shared" si="4"/>
        <v>1</v>
      </c>
      <c r="D86" s="2">
        <v>1.34</v>
      </c>
      <c r="E86" s="2">
        <v>1.75</v>
      </c>
    </row>
    <row r="87" spans="1:5" x14ac:dyDescent="0.3">
      <c r="A87" s="4">
        <f t="shared" si="5"/>
        <v>43132</v>
      </c>
      <c r="B87">
        <f t="shared" si="3"/>
        <v>2018</v>
      </c>
      <c r="C87">
        <f t="shared" si="4"/>
        <v>2</v>
      </c>
      <c r="D87" s="2">
        <v>1.43</v>
      </c>
      <c r="E87" s="2">
        <v>1.85</v>
      </c>
    </row>
    <row r="88" spans="1:5" x14ac:dyDescent="0.3">
      <c r="A88" s="4">
        <f t="shared" si="5"/>
        <v>43160</v>
      </c>
      <c r="B88">
        <f t="shared" si="3"/>
        <v>2018</v>
      </c>
      <c r="C88">
        <f t="shared" si="4"/>
        <v>3</v>
      </c>
      <c r="D88" s="2">
        <v>1.59</v>
      </c>
      <c r="E88" s="2">
        <v>1.97</v>
      </c>
    </row>
    <row r="89" spans="1:5" x14ac:dyDescent="0.3">
      <c r="A89" s="4">
        <f t="shared" si="5"/>
        <v>43191</v>
      </c>
      <c r="B89">
        <f t="shared" si="3"/>
        <v>2018</v>
      </c>
      <c r="C89">
        <f t="shared" si="4"/>
        <v>4</v>
      </c>
      <c r="D89" s="2">
        <v>1.5</v>
      </c>
      <c r="E89" s="2">
        <v>1.9</v>
      </c>
    </row>
    <row r="90" spans="1:5" x14ac:dyDescent="0.3">
      <c r="A90" s="4">
        <f t="shared" si="5"/>
        <v>43221</v>
      </c>
      <c r="B90">
        <f t="shared" si="3"/>
        <v>2018</v>
      </c>
      <c r="C90">
        <f t="shared" si="4"/>
        <v>5</v>
      </c>
      <c r="D90" s="2">
        <v>1.55</v>
      </c>
      <c r="E90" s="2">
        <v>1.94</v>
      </c>
    </row>
    <row r="91" spans="1:5" x14ac:dyDescent="0.3">
      <c r="A91" s="4">
        <f t="shared" si="5"/>
        <v>43252</v>
      </c>
      <c r="B91">
        <f t="shared" si="3"/>
        <v>2018</v>
      </c>
      <c r="C91">
        <f t="shared" si="4"/>
        <v>6</v>
      </c>
      <c r="D91" s="2">
        <v>1.49</v>
      </c>
      <c r="E91" s="2">
        <v>1.93</v>
      </c>
    </row>
    <row r="92" spans="1:5" x14ac:dyDescent="0.3">
      <c r="A92" s="4">
        <f t="shared" si="5"/>
        <v>43282</v>
      </c>
      <c r="B92">
        <f t="shared" si="3"/>
        <v>2018</v>
      </c>
      <c r="C92">
        <f t="shared" si="4"/>
        <v>7</v>
      </c>
      <c r="D92" s="2">
        <v>1.44</v>
      </c>
      <c r="E92" s="2">
        <v>1.87</v>
      </c>
    </row>
    <row r="93" spans="1:5" x14ac:dyDescent="0.3">
      <c r="A93" s="4">
        <f t="shared" si="5"/>
        <v>43313</v>
      </c>
      <c r="B93">
        <f t="shared" si="3"/>
        <v>2018</v>
      </c>
      <c r="C93">
        <f t="shared" si="4"/>
        <v>8</v>
      </c>
      <c r="D93" s="2">
        <v>1.42</v>
      </c>
      <c r="E93" s="2">
        <v>1.88</v>
      </c>
    </row>
    <row r="94" spans="1:5" x14ac:dyDescent="0.3">
      <c r="A94" s="4">
        <f t="shared" si="5"/>
        <v>43344</v>
      </c>
      <c r="B94">
        <f t="shared" si="3"/>
        <v>2018</v>
      </c>
      <c r="C94">
        <f t="shared" si="4"/>
        <v>9</v>
      </c>
      <c r="D94" s="2">
        <v>1.4</v>
      </c>
      <c r="E94" s="2">
        <v>1.86</v>
      </c>
    </row>
    <row r="95" spans="1:5" x14ac:dyDescent="0.3">
      <c r="A95" s="4">
        <f t="shared" si="5"/>
        <v>43374</v>
      </c>
      <c r="B95">
        <f t="shared" si="3"/>
        <v>2018</v>
      </c>
      <c r="C95">
        <f t="shared" si="4"/>
        <v>10</v>
      </c>
      <c r="D95" s="2">
        <v>1.46</v>
      </c>
      <c r="E95" s="2">
        <v>1.89</v>
      </c>
    </row>
    <row r="96" spans="1:5" x14ac:dyDescent="0.3">
      <c r="A96" s="4">
        <f t="shared" si="5"/>
        <v>43405</v>
      </c>
      <c r="B96">
        <f t="shared" si="3"/>
        <v>2018</v>
      </c>
      <c r="C96">
        <f t="shared" si="4"/>
        <v>11</v>
      </c>
      <c r="D96" s="2">
        <v>1.46</v>
      </c>
      <c r="E96" s="2">
        <v>1.88</v>
      </c>
    </row>
    <row r="97" spans="1:5" x14ac:dyDescent="0.3">
      <c r="A97" s="4">
        <f t="shared" si="5"/>
        <v>43435</v>
      </c>
      <c r="B97">
        <f t="shared" si="3"/>
        <v>2018</v>
      </c>
      <c r="C97">
        <f t="shared" si="4"/>
        <v>12</v>
      </c>
      <c r="D97" s="2">
        <v>1.46</v>
      </c>
      <c r="E97" s="2">
        <v>1.87</v>
      </c>
    </row>
    <row r="98" spans="1:5" x14ac:dyDescent="0.3">
      <c r="A98" s="4">
        <f t="shared" si="5"/>
        <v>43466</v>
      </c>
      <c r="B98">
        <f t="shared" si="3"/>
        <v>2019</v>
      </c>
      <c r="C98">
        <f t="shared" si="4"/>
        <v>1</v>
      </c>
      <c r="D98" s="2">
        <v>1.39</v>
      </c>
      <c r="E98" s="2">
        <v>1.84</v>
      </c>
    </row>
    <row r="99" spans="1:5" x14ac:dyDescent="0.3">
      <c r="A99" s="4">
        <f t="shared" si="5"/>
        <v>43497</v>
      </c>
      <c r="B99">
        <f t="shared" si="3"/>
        <v>2019</v>
      </c>
      <c r="C99">
        <f t="shared" si="4"/>
        <v>2</v>
      </c>
      <c r="D99" s="2">
        <v>1.36</v>
      </c>
      <c r="E99" s="2">
        <v>1.72</v>
      </c>
    </row>
    <row r="100" spans="1:5" x14ac:dyDescent="0.3">
      <c r="A100" s="4">
        <f t="shared" si="5"/>
        <v>43525</v>
      </c>
      <c r="B100">
        <f t="shared" si="3"/>
        <v>2019</v>
      </c>
      <c r="C100">
        <f t="shared" si="4"/>
        <v>3</v>
      </c>
      <c r="D100" s="2">
        <v>1.27</v>
      </c>
      <c r="E100" s="2">
        <v>1.66</v>
      </c>
    </row>
    <row r="101" spans="1:5" x14ac:dyDescent="0.3">
      <c r="A101" s="4">
        <f t="shared" si="5"/>
        <v>43556</v>
      </c>
      <c r="B101">
        <f t="shared" si="3"/>
        <v>2019</v>
      </c>
      <c r="C101">
        <f t="shared" si="4"/>
        <v>4</v>
      </c>
      <c r="D101" s="2">
        <v>1.18</v>
      </c>
      <c r="E101" s="2">
        <v>1.55</v>
      </c>
    </row>
    <row r="102" spans="1:5" x14ac:dyDescent="0.3">
      <c r="A102" s="4">
        <f t="shared" si="5"/>
        <v>43586</v>
      </c>
      <c r="B102">
        <f t="shared" si="3"/>
        <v>2019</v>
      </c>
      <c r="C102">
        <f t="shared" si="4"/>
        <v>5</v>
      </c>
      <c r="D102" s="2">
        <v>1.1499999999999999</v>
      </c>
      <c r="E102" s="2">
        <v>1.58</v>
      </c>
    </row>
    <row r="103" spans="1:5" x14ac:dyDescent="0.3">
      <c r="A103" s="4">
        <f t="shared" si="5"/>
        <v>43617</v>
      </c>
      <c r="B103">
        <f t="shared" si="3"/>
        <v>2019</v>
      </c>
      <c r="C103">
        <f t="shared" si="4"/>
        <v>6</v>
      </c>
      <c r="D103" s="2">
        <v>1.06</v>
      </c>
      <c r="E103" s="2">
        <v>1.49</v>
      </c>
    </row>
    <row r="104" spans="1:5" x14ac:dyDescent="0.3">
      <c r="A104" s="4">
        <f t="shared" si="5"/>
        <v>43647</v>
      </c>
      <c r="B104">
        <f t="shared" si="3"/>
        <v>2019</v>
      </c>
      <c r="C104">
        <f t="shared" si="4"/>
        <v>7</v>
      </c>
      <c r="D104" s="2">
        <v>0.98</v>
      </c>
      <c r="E104" s="2">
        <v>1.37</v>
      </c>
    </row>
    <row r="105" spans="1:5" x14ac:dyDescent="0.3">
      <c r="A105" s="4">
        <f t="shared" si="5"/>
        <v>43678</v>
      </c>
      <c r="B105">
        <f t="shared" si="3"/>
        <v>2019</v>
      </c>
      <c r="C105">
        <f t="shared" si="4"/>
        <v>8</v>
      </c>
      <c r="D105" s="2">
        <v>0.89</v>
      </c>
      <c r="E105" s="2">
        <v>1.27</v>
      </c>
    </row>
    <row r="106" spans="1:5" x14ac:dyDescent="0.3">
      <c r="A106" s="4">
        <f t="shared" si="5"/>
        <v>43709</v>
      </c>
      <c r="B106">
        <f t="shared" si="3"/>
        <v>2019</v>
      </c>
      <c r="C106">
        <f t="shared" si="4"/>
        <v>9</v>
      </c>
      <c r="D106" s="2">
        <v>0.74</v>
      </c>
      <c r="E106" s="2">
        <v>1.06</v>
      </c>
    </row>
    <row r="107" spans="1:5" x14ac:dyDescent="0.3">
      <c r="A107" s="4">
        <f t="shared" si="5"/>
        <v>43739</v>
      </c>
      <c r="B107">
        <f t="shared" si="3"/>
        <v>2019</v>
      </c>
      <c r="C107">
        <f t="shared" si="4"/>
        <v>10</v>
      </c>
      <c r="D107" s="2">
        <v>0.77</v>
      </c>
      <c r="E107" s="2">
        <v>1.1000000000000001</v>
      </c>
    </row>
    <row r="108" spans="1:5" x14ac:dyDescent="0.3">
      <c r="A108" s="4">
        <f t="shared" si="5"/>
        <v>43770</v>
      </c>
      <c r="B108">
        <f t="shared" si="3"/>
        <v>2019</v>
      </c>
      <c r="C108">
        <f t="shared" si="4"/>
        <v>11</v>
      </c>
      <c r="D108" s="2">
        <v>0.8</v>
      </c>
      <c r="E108" s="2">
        <v>1.1399999999999999</v>
      </c>
    </row>
    <row r="109" spans="1:5" x14ac:dyDescent="0.3">
      <c r="A109" s="4">
        <f t="shared" si="5"/>
        <v>43800</v>
      </c>
      <c r="B109">
        <f t="shared" si="3"/>
        <v>2019</v>
      </c>
      <c r="C109">
        <f t="shared" si="4"/>
        <v>12</v>
      </c>
      <c r="D109" s="2">
        <v>0.83</v>
      </c>
      <c r="E109" s="2">
        <v>1.2</v>
      </c>
    </row>
    <row r="110" spans="1:5" x14ac:dyDescent="0.3">
      <c r="A110" s="4">
        <f t="shared" si="5"/>
        <v>43831</v>
      </c>
      <c r="B110">
        <f t="shared" si="3"/>
        <v>2020</v>
      </c>
      <c r="C110">
        <f t="shared" si="4"/>
        <v>1</v>
      </c>
      <c r="D110" s="2">
        <v>0.85</v>
      </c>
      <c r="E110" s="2">
        <v>1.22</v>
      </c>
    </row>
    <row r="111" spans="1:5" x14ac:dyDescent="0.3">
      <c r="A111" s="4">
        <f t="shared" si="5"/>
        <v>43862</v>
      </c>
      <c r="B111">
        <f t="shared" si="3"/>
        <v>2020</v>
      </c>
      <c r="C111">
        <f t="shared" si="4"/>
        <v>2</v>
      </c>
      <c r="D111" s="2">
        <v>0.78</v>
      </c>
      <c r="E111" s="2">
        <v>1.08</v>
      </c>
    </row>
    <row r="112" spans="1:5" x14ac:dyDescent="0.3">
      <c r="A112" s="4">
        <f t="shared" si="5"/>
        <v>43891</v>
      </c>
      <c r="B112">
        <f t="shared" si="3"/>
        <v>2020</v>
      </c>
      <c r="C112">
        <f t="shared" si="4"/>
        <v>3</v>
      </c>
      <c r="D112" s="2">
        <v>0.73</v>
      </c>
      <c r="E112" s="2">
        <v>1.04</v>
      </c>
    </row>
    <row r="113" spans="1:5" x14ac:dyDescent="0.3">
      <c r="A113" s="4">
        <f t="shared" si="5"/>
        <v>43922</v>
      </c>
      <c r="B113">
        <f t="shared" si="3"/>
        <v>2020</v>
      </c>
      <c r="C113">
        <f t="shared" si="4"/>
        <v>4</v>
      </c>
      <c r="D113" s="2">
        <v>0.81</v>
      </c>
      <c r="E113" s="2">
        <v>1.05</v>
      </c>
    </row>
    <row r="114" spans="1:5" x14ac:dyDescent="0.3">
      <c r="A114" s="4">
        <f t="shared" si="5"/>
        <v>43952</v>
      </c>
      <c r="B114">
        <f t="shared" si="3"/>
        <v>2020</v>
      </c>
      <c r="C114">
        <f t="shared" si="4"/>
        <v>5</v>
      </c>
      <c r="D114" s="2">
        <v>0.85</v>
      </c>
      <c r="E114" s="2">
        <v>1.17</v>
      </c>
    </row>
    <row r="115" spans="1:5" x14ac:dyDescent="0.3">
      <c r="A115" s="4">
        <f t="shared" si="5"/>
        <v>43983</v>
      </c>
      <c r="B115">
        <f t="shared" si="3"/>
        <v>2020</v>
      </c>
      <c r="C115">
        <f t="shared" si="4"/>
        <v>6</v>
      </c>
      <c r="D115" s="2">
        <v>0.83</v>
      </c>
      <c r="E115" s="2">
        <v>1.1399999999999999</v>
      </c>
    </row>
    <row r="116" spans="1:5" x14ac:dyDescent="0.3">
      <c r="A116" s="4">
        <f t="shared" si="5"/>
        <v>44013</v>
      </c>
      <c r="B116">
        <f t="shared" si="3"/>
        <v>2020</v>
      </c>
      <c r="C116">
        <f t="shared" si="4"/>
        <v>7</v>
      </c>
      <c r="D116" s="2">
        <v>0.82</v>
      </c>
      <c r="E116" s="2">
        <v>1.1399999999999999</v>
      </c>
    </row>
    <row r="117" spans="1:5" x14ac:dyDescent="0.3">
      <c r="A117" s="4">
        <f t="shared" si="5"/>
        <v>44044</v>
      </c>
      <c r="B117">
        <f t="shared" si="3"/>
        <v>2020</v>
      </c>
      <c r="C117">
        <f t="shared" si="4"/>
        <v>8</v>
      </c>
      <c r="D117" s="2">
        <v>0.75</v>
      </c>
      <c r="E117" s="2">
        <v>1.04</v>
      </c>
    </row>
    <row r="118" spans="1:5" x14ac:dyDescent="0.3">
      <c r="A118" s="4">
        <f t="shared" si="5"/>
        <v>44075</v>
      </c>
      <c r="B118">
        <f t="shared" si="3"/>
        <v>2020</v>
      </c>
      <c r="C118">
        <f t="shared" si="4"/>
        <v>9</v>
      </c>
      <c r="D118" s="2">
        <v>0.76</v>
      </c>
      <c r="E118" s="2">
        <v>1.05</v>
      </c>
    </row>
    <row r="119" spans="1:5" x14ac:dyDescent="0.3">
      <c r="A119" s="4">
        <f t="shared" si="5"/>
        <v>44105</v>
      </c>
      <c r="B119">
        <f t="shared" si="3"/>
        <v>2020</v>
      </c>
      <c r="C119">
        <f t="shared" si="4"/>
        <v>10</v>
      </c>
      <c r="D119" s="2">
        <v>0.75</v>
      </c>
      <c r="E119" s="2">
        <v>1.03</v>
      </c>
    </row>
    <row r="120" spans="1:5" x14ac:dyDescent="0.3">
      <c r="A120" s="4">
        <f t="shared" si="5"/>
        <v>44136</v>
      </c>
      <c r="B120">
        <f t="shared" si="3"/>
        <v>2020</v>
      </c>
      <c r="C120">
        <f t="shared" si="4"/>
        <v>11</v>
      </c>
      <c r="D120" s="2">
        <v>0.73</v>
      </c>
      <c r="E120" s="2">
        <v>1.04</v>
      </c>
    </row>
    <row r="121" spans="1:5" x14ac:dyDescent="0.3">
      <c r="A121" s="4">
        <f t="shared" si="5"/>
        <v>44166</v>
      </c>
      <c r="B121">
        <f t="shared" si="3"/>
        <v>2020</v>
      </c>
      <c r="C121">
        <f t="shared" si="4"/>
        <v>12</v>
      </c>
      <c r="D121" s="2">
        <v>0.76</v>
      </c>
      <c r="E121" s="2">
        <v>1.04</v>
      </c>
    </row>
    <row r="122" spans="1:5" x14ac:dyDescent="0.3">
      <c r="A122" s="4">
        <f t="shared" si="5"/>
        <v>44197</v>
      </c>
      <c r="B122">
        <f t="shared" si="3"/>
        <v>2021</v>
      </c>
      <c r="C122">
        <f t="shared" si="4"/>
        <v>1</v>
      </c>
      <c r="D122" s="2">
        <v>0.75</v>
      </c>
      <c r="E122" s="2">
        <v>1.03</v>
      </c>
    </row>
    <row r="123" spans="1:5" x14ac:dyDescent="0.3">
      <c r="A123" s="4">
        <f t="shared" si="5"/>
        <v>44228</v>
      </c>
      <c r="B123">
        <f t="shared" si="3"/>
        <v>2021</v>
      </c>
      <c r="C123">
        <f t="shared" si="4"/>
        <v>2</v>
      </c>
      <c r="D123" s="2">
        <v>0.74</v>
      </c>
      <c r="E123" s="2">
        <v>1.03</v>
      </c>
    </row>
    <row r="124" spans="1:5" x14ac:dyDescent="0.3">
      <c r="A124" s="4">
        <f t="shared" si="5"/>
        <v>44256</v>
      </c>
      <c r="B124">
        <f t="shared" si="3"/>
        <v>2021</v>
      </c>
      <c r="C124">
        <f t="shared" si="4"/>
        <v>3</v>
      </c>
      <c r="D124" s="2">
        <v>0.8</v>
      </c>
      <c r="E124" s="2">
        <v>1.0900000000000001</v>
      </c>
    </row>
    <row r="125" spans="1:5" x14ac:dyDescent="0.3">
      <c r="A125" s="4">
        <f t="shared" si="5"/>
        <v>44287</v>
      </c>
      <c r="B125">
        <f t="shared" si="3"/>
        <v>2021</v>
      </c>
      <c r="C125">
        <f t="shared" si="4"/>
        <v>4</v>
      </c>
      <c r="D125" s="2">
        <v>0.89</v>
      </c>
      <c r="E125" s="2">
        <v>1.19</v>
      </c>
    </row>
    <row r="126" spans="1:5" x14ac:dyDescent="0.3">
      <c r="A126" s="4">
        <f t="shared" si="5"/>
        <v>44317</v>
      </c>
      <c r="B126">
        <f t="shared" si="3"/>
        <v>2021</v>
      </c>
      <c r="C126">
        <f t="shared" si="4"/>
        <v>5</v>
      </c>
      <c r="D126" s="2">
        <v>0.93</v>
      </c>
      <c r="E126" s="2">
        <v>1.21</v>
      </c>
    </row>
    <row r="127" spans="1:5" x14ac:dyDescent="0.3">
      <c r="A127" s="4">
        <f t="shared" si="5"/>
        <v>44348</v>
      </c>
      <c r="B127">
        <f t="shared" si="3"/>
        <v>2021</v>
      </c>
      <c r="C127">
        <f t="shared" si="4"/>
        <v>6</v>
      </c>
      <c r="D127" s="3">
        <v>1</v>
      </c>
      <c r="E127" s="2">
        <v>1.3</v>
      </c>
    </row>
    <row r="128" spans="1:5" x14ac:dyDescent="0.3">
      <c r="A128" s="4">
        <f t="shared" si="5"/>
        <v>44378</v>
      </c>
      <c r="B128">
        <f t="shared" si="3"/>
        <v>2021</v>
      </c>
      <c r="C128">
        <f t="shared" si="4"/>
        <v>7</v>
      </c>
      <c r="D128" s="2">
        <v>1.02</v>
      </c>
      <c r="E128" s="2">
        <v>1.29</v>
      </c>
    </row>
    <row r="129" spans="1:5" x14ac:dyDescent="0.3">
      <c r="A129" s="4">
        <f t="shared" si="5"/>
        <v>44409</v>
      </c>
      <c r="B129">
        <f t="shared" si="3"/>
        <v>2021</v>
      </c>
      <c r="C129">
        <f t="shared" si="4"/>
        <v>8</v>
      </c>
      <c r="D129" s="2">
        <v>0.85</v>
      </c>
      <c r="E129" s="2">
        <v>1.17</v>
      </c>
    </row>
    <row r="130" spans="1:5" x14ac:dyDescent="0.3">
      <c r="A130" s="4">
        <f t="shared" si="5"/>
        <v>44440</v>
      </c>
      <c r="B130">
        <f t="shared" si="3"/>
        <v>2021</v>
      </c>
      <c r="C130">
        <f t="shared" si="4"/>
        <v>9</v>
      </c>
      <c r="D130" s="2">
        <v>0.85</v>
      </c>
      <c r="E130" s="2">
        <v>1.1100000000000001</v>
      </c>
    </row>
    <row r="131" spans="1:5" x14ac:dyDescent="0.3">
      <c r="A131" s="4">
        <f t="shared" si="5"/>
        <v>44470</v>
      </c>
      <c r="B131">
        <f t="shared" ref="B131:B181" si="6">YEAR(A131)</f>
        <v>2021</v>
      </c>
      <c r="C131">
        <f t="shared" ref="C131:C181" si="7">MONTH(A131)</f>
        <v>10</v>
      </c>
      <c r="D131" s="2">
        <v>0.9</v>
      </c>
      <c r="E131" s="2">
        <v>1.19</v>
      </c>
    </row>
    <row r="132" spans="1:5" x14ac:dyDescent="0.3">
      <c r="A132" s="4">
        <f t="shared" ref="A132:A181" si="8">EDATE(A131,1)</f>
        <v>44501</v>
      </c>
      <c r="B132">
        <f t="shared" si="6"/>
        <v>2021</v>
      </c>
      <c r="C132">
        <f t="shared" si="7"/>
        <v>11</v>
      </c>
      <c r="D132" s="2">
        <v>1.02</v>
      </c>
      <c r="E132" s="2">
        <v>1.31</v>
      </c>
    </row>
    <row r="133" spans="1:5" x14ac:dyDescent="0.3">
      <c r="A133" s="4">
        <f t="shared" si="8"/>
        <v>44531</v>
      </c>
      <c r="B133">
        <f t="shared" si="6"/>
        <v>2021</v>
      </c>
      <c r="C133">
        <f t="shared" si="7"/>
        <v>12</v>
      </c>
      <c r="D133" s="3">
        <v>1</v>
      </c>
      <c r="E133" s="2">
        <v>1.29</v>
      </c>
    </row>
    <row r="134" spans="1:5" x14ac:dyDescent="0.3">
      <c r="A134" s="4">
        <f t="shared" si="8"/>
        <v>44562</v>
      </c>
      <c r="B134">
        <f t="shared" si="6"/>
        <v>2022</v>
      </c>
      <c r="C134">
        <f t="shared" si="7"/>
        <v>1</v>
      </c>
      <c r="D134" s="3">
        <v>1</v>
      </c>
      <c r="E134" s="2">
        <v>1.29</v>
      </c>
    </row>
    <row r="135" spans="1:5" x14ac:dyDescent="0.3">
      <c r="A135" s="4">
        <f t="shared" si="8"/>
        <v>44593</v>
      </c>
      <c r="B135">
        <f t="shared" si="6"/>
        <v>2022</v>
      </c>
      <c r="C135">
        <f t="shared" si="7"/>
        <v>2</v>
      </c>
      <c r="D135" s="2">
        <v>1.18</v>
      </c>
      <c r="E135" s="2">
        <v>1.46</v>
      </c>
    </row>
    <row r="136" spans="1:5" x14ac:dyDescent="0.3">
      <c r="A136" s="4">
        <f t="shared" si="8"/>
        <v>44621</v>
      </c>
      <c r="B136">
        <f t="shared" si="6"/>
        <v>2022</v>
      </c>
      <c r="C136">
        <f t="shared" si="7"/>
        <v>3</v>
      </c>
      <c r="D136" s="2">
        <v>1.66</v>
      </c>
      <c r="E136" s="2">
        <v>1.9</v>
      </c>
    </row>
    <row r="137" spans="1:5" x14ac:dyDescent="0.3">
      <c r="A137" s="4">
        <f t="shared" si="8"/>
        <v>44652</v>
      </c>
      <c r="B137">
        <f t="shared" si="6"/>
        <v>2022</v>
      </c>
      <c r="C137">
        <f t="shared" si="7"/>
        <v>4</v>
      </c>
      <c r="D137" s="2">
        <v>2.04</v>
      </c>
      <c r="E137" s="2">
        <v>2.2999999999999998</v>
      </c>
    </row>
    <row r="138" spans="1:5" x14ac:dyDescent="0.3">
      <c r="A138" s="4">
        <f t="shared" si="8"/>
        <v>44682</v>
      </c>
      <c r="B138">
        <f t="shared" si="6"/>
        <v>2022</v>
      </c>
      <c r="C138">
        <f t="shared" si="7"/>
        <v>5</v>
      </c>
      <c r="D138" s="2">
        <v>2.59</v>
      </c>
      <c r="E138" s="2">
        <v>2.83</v>
      </c>
    </row>
    <row r="139" spans="1:5" x14ac:dyDescent="0.3">
      <c r="A139" s="4">
        <f t="shared" si="8"/>
        <v>44713</v>
      </c>
      <c r="B139">
        <f t="shared" si="6"/>
        <v>2022</v>
      </c>
      <c r="C139">
        <f t="shared" si="7"/>
        <v>6</v>
      </c>
      <c r="D139" s="2">
        <v>2.79</v>
      </c>
      <c r="E139" s="2">
        <v>3.01</v>
      </c>
    </row>
    <row r="140" spans="1:5" x14ac:dyDescent="0.3">
      <c r="A140" s="4">
        <f t="shared" si="8"/>
        <v>44743</v>
      </c>
      <c r="B140">
        <f t="shared" si="6"/>
        <v>2022</v>
      </c>
      <c r="C140">
        <f t="shared" si="7"/>
        <v>7</v>
      </c>
      <c r="D140" s="2">
        <v>3.34</v>
      </c>
      <c r="E140" s="2">
        <v>3.58</v>
      </c>
    </row>
    <row r="141" spans="1:5" x14ac:dyDescent="0.3">
      <c r="A141" s="4">
        <f t="shared" si="8"/>
        <v>44774</v>
      </c>
      <c r="B141">
        <f t="shared" si="6"/>
        <v>2022</v>
      </c>
      <c r="C141">
        <f t="shared" si="7"/>
        <v>8</v>
      </c>
      <c r="D141" s="2">
        <v>2.86</v>
      </c>
      <c r="E141" s="2">
        <v>3.14</v>
      </c>
    </row>
    <row r="142" spans="1:5" x14ac:dyDescent="0.3">
      <c r="A142" s="4">
        <f t="shared" si="8"/>
        <v>44805</v>
      </c>
      <c r="B142">
        <f t="shared" si="6"/>
        <v>2022</v>
      </c>
      <c r="C142">
        <f t="shared" si="7"/>
        <v>9</v>
      </c>
      <c r="D142" s="2">
        <v>3.06</v>
      </c>
      <c r="E142" s="2">
        <v>3.29</v>
      </c>
    </row>
    <row r="143" spans="1:5" x14ac:dyDescent="0.3">
      <c r="A143" s="4">
        <f t="shared" si="8"/>
        <v>44835</v>
      </c>
      <c r="B143">
        <f t="shared" si="6"/>
        <v>2022</v>
      </c>
      <c r="C143">
        <f t="shared" si="7"/>
        <v>10</v>
      </c>
      <c r="D143" s="2">
        <v>3.65</v>
      </c>
      <c r="E143" s="2">
        <v>3.8</v>
      </c>
    </row>
    <row r="144" spans="1:5" x14ac:dyDescent="0.3">
      <c r="A144" s="4">
        <f t="shared" si="8"/>
        <v>44866</v>
      </c>
      <c r="B144">
        <f t="shared" si="6"/>
        <v>2022</v>
      </c>
      <c r="C144">
        <f t="shared" si="7"/>
        <v>11</v>
      </c>
      <c r="D144" s="2">
        <v>3.9</v>
      </c>
      <c r="E144" s="2">
        <v>4.04</v>
      </c>
    </row>
    <row r="145" spans="1:5" x14ac:dyDescent="0.3">
      <c r="A145" s="4">
        <f t="shared" si="8"/>
        <v>44896</v>
      </c>
      <c r="B145">
        <f t="shared" si="6"/>
        <v>2022</v>
      </c>
      <c r="C145">
        <f t="shared" si="7"/>
        <v>12</v>
      </c>
      <c r="D145" s="2">
        <v>3.58</v>
      </c>
      <c r="E145" s="2">
        <v>3.7</v>
      </c>
    </row>
    <row r="146" spans="1:5" x14ac:dyDescent="0.3">
      <c r="A146" s="4">
        <f t="shared" si="8"/>
        <v>44927</v>
      </c>
      <c r="B146">
        <f t="shared" si="6"/>
        <v>2023</v>
      </c>
      <c r="C146">
        <f t="shared" si="7"/>
        <v>1</v>
      </c>
      <c r="D146" s="2">
        <v>3.78</v>
      </c>
      <c r="E146" s="2">
        <v>3.91</v>
      </c>
    </row>
    <row r="147" spans="1:5" x14ac:dyDescent="0.3">
      <c r="A147" s="4">
        <f t="shared" si="8"/>
        <v>44958</v>
      </c>
      <c r="B147">
        <f t="shared" si="6"/>
        <v>2023</v>
      </c>
      <c r="C147">
        <f t="shared" si="7"/>
        <v>2</v>
      </c>
      <c r="D147" s="2">
        <v>3.6</v>
      </c>
      <c r="E147" s="2">
        <v>3.73</v>
      </c>
    </row>
    <row r="148" spans="1:5" x14ac:dyDescent="0.3">
      <c r="A148" s="4">
        <f t="shared" si="8"/>
        <v>44986</v>
      </c>
      <c r="B148">
        <f t="shared" si="6"/>
        <v>2023</v>
      </c>
      <c r="C148">
        <f t="shared" si="7"/>
        <v>3</v>
      </c>
      <c r="D148" s="2">
        <v>3.85</v>
      </c>
      <c r="E148" s="2">
        <v>3.95</v>
      </c>
    </row>
    <row r="149" spans="1:5" x14ac:dyDescent="0.3">
      <c r="A149" s="4">
        <f t="shared" si="8"/>
        <v>45017</v>
      </c>
      <c r="B149">
        <f t="shared" si="6"/>
        <v>2023</v>
      </c>
      <c r="C149">
        <f t="shared" si="7"/>
        <v>4</v>
      </c>
      <c r="D149" s="2">
        <v>3.75</v>
      </c>
      <c r="E149" s="2">
        <v>3.91</v>
      </c>
    </row>
    <row r="150" spans="1:5" x14ac:dyDescent="0.3">
      <c r="A150" s="4">
        <f t="shared" si="8"/>
        <v>45047</v>
      </c>
      <c r="B150">
        <f t="shared" si="6"/>
        <v>2023</v>
      </c>
      <c r="C150">
        <f t="shared" si="7"/>
        <v>5</v>
      </c>
      <c r="D150" s="2">
        <v>3.84</v>
      </c>
      <c r="E150" s="2">
        <v>3.99</v>
      </c>
    </row>
    <row r="151" spans="1:5" x14ac:dyDescent="0.3">
      <c r="A151" s="4">
        <f t="shared" si="8"/>
        <v>45078</v>
      </c>
      <c r="B151">
        <f t="shared" si="6"/>
        <v>2023</v>
      </c>
      <c r="C151">
        <f t="shared" si="7"/>
        <v>6</v>
      </c>
      <c r="D151" s="2">
        <v>3.9</v>
      </c>
      <c r="E151" s="3">
        <v>4</v>
      </c>
    </row>
    <row r="152" spans="1:5" x14ac:dyDescent="0.3">
      <c r="A152" s="4">
        <f t="shared" si="8"/>
        <v>45108</v>
      </c>
      <c r="B152">
        <f t="shared" si="6"/>
        <v>2023</v>
      </c>
      <c r="C152">
        <f t="shared" si="7"/>
        <v>7</v>
      </c>
      <c r="D152" s="2">
        <v>3.83</v>
      </c>
      <c r="E152" s="2">
        <v>3.94</v>
      </c>
    </row>
    <row r="153" spans="1:5" x14ac:dyDescent="0.3">
      <c r="A153" s="4">
        <f t="shared" si="8"/>
        <v>45139</v>
      </c>
      <c r="B153">
        <f t="shared" si="6"/>
        <v>2023</v>
      </c>
      <c r="C153">
        <f t="shared" si="7"/>
        <v>8</v>
      </c>
      <c r="D153" s="2">
        <v>3.91</v>
      </c>
      <c r="E153" s="3">
        <v>4</v>
      </c>
    </row>
    <row r="154" spans="1:5" x14ac:dyDescent="0.3">
      <c r="A154" s="4">
        <f t="shared" si="8"/>
        <v>45170</v>
      </c>
      <c r="B154">
        <f t="shared" si="6"/>
        <v>2023</v>
      </c>
      <c r="C154">
        <f t="shared" si="7"/>
        <v>9</v>
      </c>
      <c r="D154" s="2">
        <v>3.91</v>
      </c>
      <c r="E154" s="2">
        <v>4.09</v>
      </c>
    </row>
    <row r="155" spans="1:5" x14ac:dyDescent="0.3">
      <c r="A155" s="4">
        <f t="shared" si="8"/>
        <v>45200</v>
      </c>
      <c r="B155">
        <f t="shared" si="6"/>
        <v>2023</v>
      </c>
      <c r="C155">
        <f t="shared" si="7"/>
        <v>10</v>
      </c>
      <c r="D155" s="2">
        <v>4.03</v>
      </c>
      <c r="E155" s="2">
        <v>4.16</v>
      </c>
    </row>
    <row r="156" spans="1:5" x14ac:dyDescent="0.3">
      <c r="A156" s="4">
        <f t="shared" si="8"/>
        <v>45231</v>
      </c>
      <c r="B156">
        <f t="shared" si="6"/>
        <v>2023</v>
      </c>
      <c r="C156">
        <f t="shared" si="7"/>
        <v>11</v>
      </c>
      <c r="D156" s="2">
        <v>4.2300000000000004</v>
      </c>
      <c r="E156" s="2">
        <v>4.3600000000000003</v>
      </c>
    </row>
    <row r="157" spans="1:5" x14ac:dyDescent="0.3">
      <c r="A157" s="4">
        <f t="shared" si="8"/>
        <v>45261</v>
      </c>
      <c r="B157">
        <f t="shared" si="6"/>
        <v>2023</v>
      </c>
      <c r="C157">
        <f t="shared" si="7"/>
        <v>12</v>
      </c>
      <c r="D157" s="2">
        <v>3.87</v>
      </c>
      <c r="E157" s="2">
        <v>4.04</v>
      </c>
    </row>
    <row r="158" spans="1:5" x14ac:dyDescent="0.3">
      <c r="A158" s="4">
        <f t="shared" si="8"/>
        <v>45292</v>
      </c>
      <c r="B158">
        <f t="shared" si="6"/>
        <v>2024</v>
      </c>
      <c r="C158">
        <f t="shared" si="7"/>
        <v>1</v>
      </c>
      <c r="D158" s="2">
        <v>3.42</v>
      </c>
      <c r="E158" s="2">
        <v>3.56</v>
      </c>
    </row>
    <row r="159" spans="1:5" x14ac:dyDescent="0.3">
      <c r="A159" s="4">
        <f t="shared" si="8"/>
        <v>45323</v>
      </c>
      <c r="B159">
        <f t="shared" si="6"/>
        <v>2024</v>
      </c>
      <c r="C159">
        <f t="shared" si="7"/>
        <v>2</v>
      </c>
      <c r="D159" s="2">
        <v>3.52</v>
      </c>
      <c r="E159" s="2">
        <v>3.62</v>
      </c>
    </row>
    <row r="160" spans="1:5" x14ac:dyDescent="0.3">
      <c r="A160" s="4">
        <f t="shared" si="8"/>
        <v>45352</v>
      </c>
      <c r="B160">
        <f t="shared" si="6"/>
        <v>2024</v>
      </c>
      <c r="C160">
        <f t="shared" si="7"/>
        <v>3</v>
      </c>
      <c r="D160" s="2">
        <v>3.61</v>
      </c>
      <c r="E160" s="2">
        <v>3.69</v>
      </c>
    </row>
    <row r="161" spans="1:5" x14ac:dyDescent="0.3">
      <c r="A161" s="4">
        <f t="shared" si="8"/>
        <v>45383</v>
      </c>
      <c r="B161">
        <f t="shared" si="6"/>
        <v>2024</v>
      </c>
      <c r="C161">
        <f t="shared" si="7"/>
        <v>4</v>
      </c>
      <c r="D161" s="2">
        <v>3.55</v>
      </c>
      <c r="E161" s="2">
        <v>3.64</v>
      </c>
    </row>
    <row r="162" spans="1:5" x14ac:dyDescent="0.3">
      <c r="A162" s="4">
        <f t="shared" si="8"/>
        <v>45413</v>
      </c>
      <c r="B162">
        <f t="shared" si="6"/>
        <v>2024</v>
      </c>
      <c r="C162">
        <f t="shared" si="7"/>
        <v>5</v>
      </c>
      <c r="D162" s="2">
        <v>3.66</v>
      </c>
      <c r="E162" s="2">
        <v>3.76</v>
      </c>
    </row>
    <row r="163" spans="1:5" x14ac:dyDescent="0.3">
      <c r="A163" s="4">
        <f t="shared" si="8"/>
        <v>45444</v>
      </c>
      <c r="B163">
        <f t="shared" si="6"/>
        <v>2024</v>
      </c>
      <c r="C163">
        <f t="shared" si="7"/>
        <v>6</v>
      </c>
      <c r="D163" s="2">
        <v>3.72</v>
      </c>
      <c r="E163" s="2">
        <v>3.82</v>
      </c>
    </row>
    <row r="164" spans="1:5" x14ac:dyDescent="0.3">
      <c r="A164" s="4">
        <f t="shared" si="8"/>
        <v>45474</v>
      </c>
      <c r="B164">
        <f t="shared" si="6"/>
        <v>2024</v>
      </c>
      <c r="C164">
        <f t="shared" si="7"/>
        <v>7</v>
      </c>
      <c r="D164" s="2">
        <v>3.67</v>
      </c>
      <c r="E164" s="2">
        <v>3.76</v>
      </c>
    </row>
    <row r="165" spans="1:5" x14ac:dyDescent="0.3">
      <c r="A165" s="4">
        <f t="shared" si="8"/>
        <v>45505</v>
      </c>
      <c r="B165">
        <f t="shared" si="6"/>
        <v>2024</v>
      </c>
      <c r="C165">
        <f t="shared" si="7"/>
        <v>8</v>
      </c>
      <c r="D165" s="2">
        <v>3.6</v>
      </c>
      <c r="E165" s="2">
        <v>3.72</v>
      </c>
    </row>
    <row r="166" spans="1:5" x14ac:dyDescent="0.3">
      <c r="A166" s="4">
        <f t="shared" si="8"/>
        <v>45536</v>
      </c>
      <c r="B166">
        <f t="shared" si="6"/>
        <v>2024</v>
      </c>
      <c r="C166">
        <f t="shared" si="7"/>
        <v>9</v>
      </c>
      <c r="D166" s="2">
        <v>3.37</v>
      </c>
      <c r="E166" s="2">
        <v>3.48</v>
      </c>
    </row>
    <row r="167" spans="1:5" x14ac:dyDescent="0.3">
      <c r="A167" s="4">
        <f t="shared" si="8"/>
        <v>45566</v>
      </c>
      <c r="B167">
        <f t="shared" si="6"/>
        <v>2024</v>
      </c>
      <c r="C167">
        <f t="shared" si="7"/>
        <v>10</v>
      </c>
      <c r="D167" s="2">
        <v>3.31</v>
      </c>
      <c r="E167" s="2">
        <v>3.44</v>
      </c>
    </row>
    <row r="168" spans="1:5" x14ac:dyDescent="0.3">
      <c r="A168" s="4">
        <f t="shared" si="8"/>
        <v>45597</v>
      </c>
      <c r="B168">
        <f t="shared" si="6"/>
        <v>2024</v>
      </c>
      <c r="C168">
        <f t="shared" si="7"/>
        <v>11</v>
      </c>
      <c r="D168" s="2">
        <v>3.28</v>
      </c>
      <c r="E168" s="2">
        <v>3.41</v>
      </c>
    </row>
    <row r="169" spans="1:5" x14ac:dyDescent="0.3">
      <c r="A169" s="4">
        <f t="shared" si="8"/>
        <v>45627</v>
      </c>
      <c r="B169">
        <f t="shared" si="6"/>
        <v>2024</v>
      </c>
      <c r="C169">
        <f t="shared" si="7"/>
        <v>12</v>
      </c>
      <c r="D169" s="2">
        <v>3.23</v>
      </c>
      <c r="E169" s="2">
        <v>3.36</v>
      </c>
    </row>
    <row r="170" spans="1:5" x14ac:dyDescent="0.3">
      <c r="A170" s="4">
        <f t="shared" si="8"/>
        <v>45658</v>
      </c>
      <c r="B170">
        <f t="shared" si="6"/>
        <v>2025</v>
      </c>
      <c r="C170">
        <f t="shared" si="7"/>
        <v>1</v>
      </c>
      <c r="D170" s="2">
        <v>3.16</v>
      </c>
      <c r="E170" s="2">
        <v>3.26</v>
      </c>
    </row>
    <row r="171" spans="1:5" x14ac:dyDescent="0.3">
      <c r="A171" s="4">
        <f t="shared" si="8"/>
        <v>45689</v>
      </c>
      <c r="B171">
        <f t="shared" si="6"/>
        <v>2025</v>
      </c>
      <c r="C171">
        <f t="shared" si="7"/>
        <v>2</v>
      </c>
      <c r="D171" s="2">
        <v>3.5</v>
      </c>
      <c r="E171" s="2">
        <v>3.59</v>
      </c>
    </row>
    <row r="172" spans="1:5" x14ac:dyDescent="0.3">
      <c r="A172" s="4">
        <f t="shared" si="8"/>
        <v>45717</v>
      </c>
      <c r="B172">
        <f t="shared" si="6"/>
        <v>2025</v>
      </c>
      <c r="C172">
        <f t="shared" si="7"/>
        <v>3</v>
      </c>
      <c r="D172" s="2">
        <v>3.43</v>
      </c>
      <c r="E172" s="2">
        <v>3.53</v>
      </c>
    </row>
    <row r="173" spans="1:5" x14ac:dyDescent="0.3">
      <c r="A173" s="4">
        <f t="shared" si="8"/>
        <v>45748</v>
      </c>
      <c r="B173">
        <f t="shared" si="6"/>
        <v>2025</v>
      </c>
      <c r="C173">
        <f t="shared" si="7"/>
        <v>4</v>
      </c>
      <c r="D173" s="2">
        <v>3.68</v>
      </c>
      <c r="E173" s="2">
        <v>3.82</v>
      </c>
    </row>
    <row r="174" spans="1:5" x14ac:dyDescent="0.3">
      <c r="A174" s="4">
        <f t="shared" si="8"/>
        <v>45778</v>
      </c>
      <c r="B174">
        <f t="shared" si="6"/>
        <v>2025</v>
      </c>
      <c r="C174">
        <f t="shared" si="7"/>
        <v>5</v>
      </c>
      <c r="D174" s="2">
        <v>3.56</v>
      </c>
      <c r="E174" s="2">
        <v>3.69</v>
      </c>
    </row>
    <row r="175" spans="1:5" x14ac:dyDescent="0.3">
      <c r="A175" s="4">
        <f t="shared" si="8"/>
        <v>45809</v>
      </c>
      <c r="B175">
        <f t="shared" si="6"/>
        <v>2025</v>
      </c>
      <c r="C175">
        <f t="shared" si="7"/>
        <v>6</v>
      </c>
      <c r="D175" s="2">
        <v>3.57</v>
      </c>
      <c r="E175" s="2">
        <v>3.7</v>
      </c>
    </row>
    <row r="176" spans="1:5" x14ac:dyDescent="0.3">
      <c r="A176" s="4">
        <f t="shared" si="8"/>
        <v>45839</v>
      </c>
      <c r="B176">
        <f t="shared" si="6"/>
        <v>2025</v>
      </c>
      <c r="C176">
        <f t="shared" si="7"/>
        <v>7</v>
      </c>
      <c r="D176" s="2">
        <v>3.57</v>
      </c>
      <c r="E176" s="2">
        <v>3.69</v>
      </c>
    </row>
    <row r="177" spans="1:5" x14ac:dyDescent="0.3">
      <c r="A177" s="4">
        <f t="shared" si="8"/>
        <v>45870</v>
      </c>
      <c r="B177">
        <f t="shared" si="6"/>
        <v>2025</v>
      </c>
      <c r="C177">
        <f t="shared" si="7"/>
        <v>8</v>
      </c>
      <c r="D177" s="2">
        <v>3.64</v>
      </c>
      <c r="E177" s="2">
        <v>3.82</v>
      </c>
    </row>
    <row r="178" spans="1:5" x14ac:dyDescent="0.3">
      <c r="A178" s="4">
        <f t="shared" si="8"/>
        <v>45901</v>
      </c>
      <c r="B178">
        <f t="shared" si="6"/>
        <v>2025</v>
      </c>
      <c r="C178">
        <f t="shared" si="7"/>
        <v>9</v>
      </c>
      <c r="D178" s="2">
        <v>3.67</v>
      </c>
      <c r="E178" s="2">
        <v>3.86</v>
      </c>
    </row>
    <row r="179" spans="1:5" x14ac:dyDescent="0.3">
      <c r="A179" s="4">
        <f t="shared" si="8"/>
        <v>45931</v>
      </c>
      <c r="B179">
        <f t="shared" si="6"/>
        <v>2025</v>
      </c>
      <c r="C179">
        <f t="shared" si="7"/>
        <v>10</v>
      </c>
      <c r="D179" s="2">
        <v>3.65</v>
      </c>
      <c r="E179" s="2">
        <v>3.82</v>
      </c>
    </row>
    <row r="180" spans="1:5" x14ac:dyDescent="0.3">
      <c r="A180" s="4">
        <f t="shared" si="8"/>
        <v>45962</v>
      </c>
      <c r="B180">
        <f t="shared" si="6"/>
        <v>2025</v>
      </c>
      <c r="C180">
        <f t="shared" si="7"/>
        <v>11</v>
      </c>
      <c r="D180" s="2">
        <v>3.6</v>
      </c>
      <c r="E180" s="2">
        <v>3.76</v>
      </c>
    </row>
    <row r="181" spans="1:5" x14ac:dyDescent="0.3">
      <c r="A181" s="4">
        <f t="shared" si="8"/>
        <v>45992</v>
      </c>
      <c r="B181">
        <f t="shared" si="6"/>
        <v>2025</v>
      </c>
      <c r="C181">
        <f t="shared" si="7"/>
        <v>12</v>
      </c>
      <c r="D181" s="2">
        <v>3.6</v>
      </c>
      <c r="E181" s="2">
        <v>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Gansneder</dc:creator>
  <cp:lastModifiedBy>Lukas</cp:lastModifiedBy>
  <dcterms:created xsi:type="dcterms:W3CDTF">2015-06-05T18:19:34Z</dcterms:created>
  <dcterms:modified xsi:type="dcterms:W3CDTF">2025-12-12T13:39:26Z</dcterms:modified>
</cp:coreProperties>
</file>